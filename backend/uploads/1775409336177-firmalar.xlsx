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iND\OneDrive\Desktop\"/>
    </mc:Choice>
  </mc:AlternateContent>
  <xr:revisionPtr revIDLastSave="0" documentId="13_ncr:1_{25A5544B-BD5C-4827-B7DE-FCB5DB50769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ayfa1" sheetId="1" r:id="rId1"/>
    <sheet name="Sayf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2" l="1"/>
  <c r="G34" i="2"/>
  <c r="F34" i="2"/>
  <c r="B57" i="2"/>
  <c r="D59" i="1"/>
  <c r="H59" i="2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3" i="1" l="1"/>
  <c r="B57" i="1" l="1"/>
  <c r="D57" i="1" l="1"/>
</calcChain>
</file>

<file path=xl/sharedStrings.xml><?xml version="1.0" encoding="utf-8"?>
<sst xmlns="http://schemas.openxmlformats.org/spreadsheetml/2006/main" count="124" uniqueCount="63">
  <si>
    <t>ABBOTT LABORATUAR LTD ŞTİ</t>
  </si>
  <si>
    <t>ARTI SEYAHAT ACENTASI</t>
  </si>
  <si>
    <t>ATOM ULUSLARARASI NAKLİYAT</t>
  </si>
  <si>
    <t>AYPARA ÖDEME KURULUŞU A.Ş.</t>
  </si>
  <si>
    <t>BIDFOOD DAĞITIM VE PAZARLAMA A.Ş</t>
  </si>
  <si>
    <t>BORLEASE OTOMOTİV A.Ş</t>
  </si>
  <si>
    <t>BR MAĞAZACILIK TİCARET A.Ş.</t>
  </si>
  <si>
    <t>BSM (CEMETE A.Ş)</t>
  </si>
  <si>
    <t>CALLART REHBERLİK</t>
  </si>
  <si>
    <t>DMR DENETİM</t>
  </si>
  <si>
    <t>EMAN TURİZM SAN. VE TİC.LTD. ŞTİ. ( SESER )</t>
  </si>
  <si>
    <t>ENERYA AKSARAY GAZ DAĞITIM A.Ş</t>
  </si>
  <si>
    <t>ENERYA ANTALYA GAZ DAĞITIM A.Ş.</t>
  </si>
  <si>
    <t>ENERYA AYDIN GAZ DAĞITIM A.Ş.</t>
  </si>
  <si>
    <t>ENERYA DENİZLİ GAZ DAĞITIM A.Ş.</t>
  </si>
  <si>
    <t>ENERYA ENERJİ A.Ş</t>
  </si>
  <si>
    <t>ENERYA EREĞLİ GAZ DAĞITIM A.Ş</t>
  </si>
  <si>
    <t>ENERYA ERZİNCAN GAZ DAĞITIM A.Ş.</t>
  </si>
  <si>
    <t>ENERYA KARAMAN GAZ DAĞITIM A.Ş</t>
  </si>
  <si>
    <t>ENERYA KONYA GAZ DAĞITIM A.Ş</t>
  </si>
  <si>
    <t>ENERYA NEVŞEHİR GAZ DAĞITIM A.Ş.</t>
  </si>
  <si>
    <t>ENERYA NİĞDE GAZ DAĞITIM A.Ş.</t>
  </si>
  <si>
    <t>ESEA SAĞLIK HİZMETLERİ VE YATIRIM A.Ş (GAZİANTEP MEDİCAL)</t>
  </si>
  <si>
    <t>FORE ULUSLARARASI PAZARLAMA VE TİCARET ANONİM ŞİRKETİ</t>
  </si>
  <si>
    <t>GFK ARAŞTIRMA</t>
  </si>
  <si>
    <t>GFK TURKEY</t>
  </si>
  <si>
    <t>GÖZDEMİR EGE SAĞLIK HİZMETLERİ A.Ş İZMİR ÇİĞLİ ŞUBESİ</t>
  </si>
  <si>
    <t>GÖZDEMİR EGE SAĞLIK HİZMETLERİ A.Ş İZMİR KONAK ŞUBESİ</t>
  </si>
  <si>
    <t>ATS HAVACILIK TEKNİK A.Ş.</t>
  </si>
  <si>
    <t>HM TRADING B.V.</t>
  </si>
  <si>
    <t>İNİNAL A.Ş.</t>
  </si>
  <si>
    <t>KONİ TEKNİK</t>
  </si>
  <si>
    <t>KONYA AKADEMİ HASTANESİ</t>
  </si>
  <si>
    <t>MERAMPARK SAĞ. HİZM. A.Ş.</t>
  </si>
  <si>
    <t>LESAFFRRE TURQUİE MAYACILIK ÜRETİM VE TİCARET ANONİM ŞİRKETİ</t>
  </si>
  <si>
    <t>LEASEPLAN</t>
  </si>
  <si>
    <t>MAGDEGURGER A.Ş.</t>
  </si>
  <si>
    <t>MAVİ YELKEN ÖZEL SAĞLIK</t>
  </si>
  <si>
    <t>ÖZEL MEDİCALPARK</t>
  </si>
  <si>
    <t>MODERN OTO</t>
  </si>
  <si>
    <t>NET LOGISTICS TAŞIMACILIK A.Ş.</t>
  </si>
  <si>
    <t>OSMANLI MENKUL</t>
  </si>
  <si>
    <t>ÖZTAN SAĞLIK HASTANESİ TİC. LTD. ŞTİ.</t>
  </si>
  <si>
    <t>PROMETEIA S.P.A</t>
  </si>
  <si>
    <t>RENKLER MAKİNE</t>
  </si>
  <si>
    <t>RENOLİT</t>
  </si>
  <si>
    <t>SADAL TARIM MAKİNELERİ DIŞ TİCARET ANONİM ŞİRKETİ</t>
  </si>
  <si>
    <t>SCS KENT TEKNOLOJİLERİ SAN. VE TİC. A.Ş.</t>
  </si>
  <si>
    <t>JUDE MEDICAL TURKEY MEDİKAL ÜRÜNLER TİCARET LTD. ŞTİ.</t>
  </si>
  <si>
    <t>TEKNOSA A.Ş.</t>
  </si>
  <si>
    <t>TEMA VAKFI İKTİSADİ İŞLETMESİ</t>
  </si>
  <si>
    <t>TER RA GAYRİMENKUL DEĞERLEME</t>
  </si>
  <si>
    <t>TYH ULUSLARARASI TEKSTİL PAZ. SAN. ve TİC. A.Ş.</t>
  </si>
  <si>
    <t>DR. YAMAN ESTETİK SAĞLIK TURİZM LTD.ŞTİ.</t>
  </si>
  <si>
    <t>FİRMA</t>
  </si>
  <si>
    <t>GENEL TOPLAM</t>
  </si>
  <si>
    <t>SAKLAMA BEDELİ</t>
  </si>
  <si>
    <t>KUTU SAYI</t>
  </si>
  <si>
    <t>TOPLAM TUTAR</t>
  </si>
  <si>
    <t xml:space="preserve">ORTALMA SAKLAMA BEDELİ </t>
  </si>
  <si>
    <t>RAFTAN İNDİRME</t>
  </si>
  <si>
    <t>SİSTEMDEN ÇIKIŞ</t>
  </si>
  <si>
    <t>ARA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</si>
</sst>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b/>
      <sz val="11"/>
      <color theme="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2">
    <xf numFmtId="0" fontId="0" fillId="0" borderId="0"/>
    <xf numFmtId="0" fontId="3" fillId="2" borderId="3" applyNumberFormat="0" applyAlignment="0" applyProtection="0"/>
  </cellStyleXfs>
  <cellXfs count="31">
    <xf numFmtId="0" fontId="0" fillId="0" borderId="0" xfId="0"/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1" xfId="0" applyFont="1" applyBorder="1"/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3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/>
    <xf numFmtId="3" fontId="3" fillId="2" borderId="3" xfId="1" applyNumberFormat="1" applyAlignment="1">
      <alignment horizontal="center"/>
    </xf>
    <xf numFmtId="164" fontId="3" fillId="2" borderId="3" xfId="1" applyNumberFormat="1" applyAlignment="1">
      <alignment horizontal="center"/>
    </xf>
    <xf numFmtId="0" fontId="3" fillId="2" borderId="3" xfId="1" applyAlignment="1">
      <alignment horizontal="center" vertical="center"/>
    </xf>
    <xf numFmtId="3" fontId="3" fillId="2" borderId="3" xfId="1" applyNumberFormat="1" applyAlignment="1">
      <alignment horizontal="center" vertical="center" wrapText="1"/>
    </xf>
    <xf numFmtId="164" fontId="3" fillId="2" borderId="3" xfId="1" applyNumberFormat="1" applyAlignment="1">
      <alignment horizontal="center" vertical="center" wrapText="1"/>
    </xf>
    <xf numFmtId="0" fontId="0" fillId="0" borderId="0" xfId="0" applyAlignment="1">
      <alignment vertical="center"/>
    </xf>
    <xf numFmtId="0" fontId="3" fillId="2" borderId="3" xfId="1" applyAlignment="1">
      <alignment horizontal="center" vertical="center" wrapText="1"/>
    </xf>
    <xf numFmtId="0" fontId="3" fillId="2" borderId="6" xfId="1" applyBorder="1" applyAlignment="1">
      <alignment horizontal="center"/>
    </xf>
    <xf numFmtId="0" fontId="0" fillId="3" borderId="1" xfId="0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2" fillId="5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17" fontId="3" fillId="2" borderId="3" xfId="1" applyNumberFormat="1" applyAlignment="1">
      <alignment horizontal="center"/>
    </xf>
    <xf numFmtId="0" fontId="3" fillId="2" borderId="3" xfId="1" applyAlignment="1">
      <alignment horizontal="center"/>
    </xf>
    <xf numFmtId="0" fontId="3" fillId="2" borderId="4" xfId="1" applyBorder="1" applyAlignment="1">
      <alignment horizontal="center"/>
    </xf>
    <xf numFmtId="0" fontId="3" fillId="2" borderId="5" xfId="1" applyBorder="1" applyAlignment="1">
      <alignment horizontal="center"/>
    </xf>
    <xf numFmtId="0" fontId="0" fillId="9" borderId="1" xfId="0" applyFill="1" applyBorder="1"/>
  </cellXfs>
  <cellStyles count="2">
    <cellStyle name="İşaretli Hücre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zoomScaleNormal="100" workbookViewId="0">
      <selection sqref="A1:XFD1048576"/>
    </sheetView>
  </sheetViews>
  <sheetFormatPr defaultRowHeight="15" x14ac:dyDescent="0.25"/>
  <cols>
    <col min="1" max="1" width="52" customWidth="1"/>
    <col min="2" max="2" width="9" style="1"/>
    <col min="3" max="3" width="9" style="2"/>
    <col min="4" max="4" width="16" style="8" customWidth="1"/>
  </cols>
  <sheetData>
    <row r="1" spans="1:4" ht="16.5" thickTop="1" thickBot="1" x14ac:dyDescent="0.3">
      <c r="A1" s="26">
        <v>46023</v>
      </c>
      <c r="B1" s="27"/>
      <c r="C1" s="27"/>
      <c r="D1" s="27"/>
    </row>
    <row r="2" spans="1:4" s="15" customFormat="1" ht="31.5" thickTop="1" thickBot="1" x14ac:dyDescent="0.3">
      <c r="A2" s="12" t="s">
        <v>54</v>
      </c>
      <c r="B2" s="13" t="s">
        <v>57</v>
      </c>
      <c r="C2" s="14" t="s">
        <v>56</v>
      </c>
      <c r="D2" s="16" t="s">
        <v>58</v>
      </c>
    </row>
    <row r="3" spans="1:4" ht="15.75" thickTop="1" x14ac:dyDescent="0.25">
      <c r="A3" s="3" t="s">
        <v>0</v>
      </c>
      <c r="B3" s="4">
        <v>3020</v>
      </c>
      <c r="C3" s="5">
        <v>10.435623999999999</v>
      </c>
      <c r="D3" s="5">
        <f>B3*C3</f>
        <v>31515.584479999998</v>
      </c>
    </row>
    <row r="4" spans="1:4" x14ac:dyDescent="0.25">
      <c r="A4" s="6" t="s">
        <v>1</v>
      </c>
      <c r="B4" s="4">
        <v>1750</v>
      </c>
      <c r="C4" s="5">
        <v>15.237052</v>
      </c>
      <c r="D4" s="5">
        <f t="shared" ref="D4:D56" si="0">B4*C4</f>
        <v>26664.841</v>
      </c>
    </row>
    <row r="5" spans="1:4" x14ac:dyDescent="0.25">
      <c r="A5" s="6" t="s">
        <v>2</v>
      </c>
      <c r="B5" s="4">
        <v>431</v>
      </c>
      <c r="C5" s="5">
        <v>13.649588</v>
      </c>
      <c r="D5" s="5">
        <f t="shared" si="0"/>
        <v>5882.972428</v>
      </c>
    </row>
    <row r="6" spans="1:4" x14ac:dyDescent="0.25">
      <c r="A6" s="6" t="s">
        <v>3</v>
      </c>
      <c r="B6" s="4">
        <v>172</v>
      </c>
      <c r="C6" s="5">
        <v>12.673688</v>
      </c>
      <c r="D6" s="5">
        <f t="shared" si="0"/>
        <v>2179.8743359999999</v>
      </c>
    </row>
    <row r="7" spans="1:4" x14ac:dyDescent="0.25">
      <c r="A7" s="6" t="s">
        <v>4</v>
      </c>
      <c r="B7" s="7">
        <v>672</v>
      </c>
      <c r="C7" s="5">
        <v>15.497292</v>
      </c>
      <c r="D7" s="5">
        <f t="shared" si="0"/>
        <v>10414.180224</v>
      </c>
    </row>
    <row r="8" spans="1:4" x14ac:dyDescent="0.25">
      <c r="A8" s="6" t="s">
        <v>5</v>
      </c>
      <c r="B8" s="4">
        <v>149</v>
      </c>
      <c r="C8" s="5">
        <v>11.710799999999999</v>
      </c>
      <c r="D8" s="5">
        <f t="shared" si="0"/>
        <v>1744.9091999999998</v>
      </c>
    </row>
    <row r="9" spans="1:4" x14ac:dyDescent="0.25">
      <c r="A9" s="6" t="s">
        <v>6</v>
      </c>
      <c r="B9" s="4">
        <v>4853</v>
      </c>
      <c r="C9" s="5">
        <v>11.5</v>
      </c>
      <c r="D9" s="5">
        <f t="shared" si="0"/>
        <v>55809.5</v>
      </c>
    </row>
    <row r="10" spans="1:4" x14ac:dyDescent="0.25">
      <c r="A10" s="6" t="s">
        <v>7</v>
      </c>
      <c r="B10" s="4">
        <v>1791</v>
      </c>
      <c r="C10" s="5">
        <v>12.673688</v>
      </c>
      <c r="D10" s="5">
        <f t="shared" si="0"/>
        <v>22698.575208000002</v>
      </c>
    </row>
    <row r="11" spans="1:4" x14ac:dyDescent="0.25">
      <c r="A11" s="6" t="s">
        <v>8</v>
      </c>
      <c r="B11" s="4">
        <v>57</v>
      </c>
      <c r="C11" s="5">
        <v>12.673688</v>
      </c>
      <c r="D11" s="5">
        <f t="shared" si="0"/>
        <v>722.400216</v>
      </c>
    </row>
    <row r="12" spans="1:4" x14ac:dyDescent="0.25">
      <c r="A12" s="6" t="s">
        <v>9</v>
      </c>
      <c r="B12" s="4">
        <v>254</v>
      </c>
      <c r="C12" s="5">
        <v>12.179231999999999</v>
      </c>
      <c r="D12" s="5">
        <f t="shared" si="0"/>
        <v>3093.5249279999998</v>
      </c>
    </row>
    <row r="13" spans="1:4" x14ac:dyDescent="0.25">
      <c r="A13" s="6" t="s">
        <v>10</v>
      </c>
      <c r="B13" s="4">
        <v>473</v>
      </c>
      <c r="C13" s="5">
        <v>12.673688</v>
      </c>
      <c r="D13" s="5">
        <f t="shared" si="0"/>
        <v>5994.6544240000003</v>
      </c>
    </row>
    <row r="14" spans="1:4" x14ac:dyDescent="0.25">
      <c r="A14" s="6" t="s">
        <v>11</v>
      </c>
      <c r="B14" s="4">
        <v>640</v>
      </c>
      <c r="C14" s="5">
        <v>9.6549039999999984</v>
      </c>
      <c r="D14" s="5">
        <f t="shared" si="0"/>
        <v>6179.1385599999994</v>
      </c>
    </row>
    <row r="15" spans="1:4" x14ac:dyDescent="0.25">
      <c r="A15" s="6" t="s">
        <v>12</v>
      </c>
      <c r="B15" s="4">
        <v>485</v>
      </c>
      <c r="C15" s="5">
        <v>9.6549039999999984</v>
      </c>
      <c r="D15" s="5">
        <f t="shared" si="0"/>
        <v>4682.6284399999995</v>
      </c>
    </row>
    <row r="16" spans="1:4" x14ac:dyDescent="0.25">
      <c r="A16" s="6" t="s">
        <v>13</v>
      </c>
      <c r="B16" s="4">
        <v>559</v>
      </c>
      <c r="C16" s="5">
        <v>9.6549039999999984</v>
      </c>
      <c r="D16" s="5">
        <f t="shared" si="0"/>
        <v>5397.0913359999995</v>
      </c>
    </row>
    <row r="17" spans="1:4" x14ac:dyDescent="0.25">
      <c r="A17" s="6" t="s">
        <v>14</v>
      </c>
      <c r="B17" s="4">
        <v>1307</v>
      </c>
      <c r="C17" s="5">
        <v>9.6549039999999984</v>
      </c>
      <c r="D17" s="5">
        <f t="shared" si="0"/>
        <v>12618.959527999998</v>
      </c>
    </row>
    <row r="18" spans="1:4" x14ac:dyDescent="0.25">
      <c r="A18" s="6" t="s">
        <v>15</v>
      </c>
      <c r="B18" s="4">
        <v>1245</v>
      </c>
      <c r="C18" s="5">
        <v>9.6549039999999984</v>
      </c>
      <c r="D18" s="5">
        <f t="shared" si="0"/>
        <v>12020.355479999998</v>
      </c>
    </row>
    <row r="19" spans="1:4" x14ac:dyDescent="0.25">
      <c r="A19" s="6" t="s">
        <v>16</v>
      </c>
      <c r="B19" s="4">
        <v>241</v>
      </c>
      <c r="C19" s="5">
        <v>9.6549039999999984</v>
      </c>
      <c r="D19" s="5">
        <f t="shared" si="0"/>
        <v>2326.8318639999998</v>
      </c>
    </row>
    <row r="20" spans="1:4" x14ac:dyDescent="0.25">
      <c r="A20" s="6" t="s">
        <v>17</v>
      </c>
      <c r="B20" s="4">
        <v>562</v>
      </c>
      <c r="C20" s="5">
        <v>9.6549039999999984</v>
      </c>
      <c r="D20" s="5">
        <f t="shared" si="0"/>
        <v>5426.0560479999995</v>
      </c>
    </row>
    <row r="21" spans="1:4" x14ac:dyDescent="0.25">
      <c r="A21" s="6" t="s">
        <v>18</v>
      </c>
      <c r="B21" s="4">
        <v>557</v>
      </c>
      <c r="C21" s="5">
        <v>9.6549039999999984</v>
      </c>
      <c r="D21" s="5">
        <f t="shared" si="0"/>
        <v>5377.7815279999995</v>
      </c>
    </row>
    <row r="22" spans="1:4" x14ac:dyDescent="0.25">
      <c r="A22" s="6" t="s">
        <v>19</v>
      </c>
      <c r="B22" s="4">
        <v>3062</v>
      </c>
      <c r="C22" s="5">
        <v>9.6549039999999984</v>
      </c>
      <c r="D22" s="5">
        <f t="shared" si="0"/>
        <v>29563.316047999993</v>
      </c>
    </row>
    <row r="23" spans="1:4" x14ac:dyDescent="0.25">
      <c r="A23" s="6" t="s">
        <v>20</v>
      </c>
      <c r="B23" s="4">
        <v>541</v>
      </c>
      <c r="C23" s="5">
        <v>9.6549039999999984</v>
      </c>
      <c r="D23" s="5">
        <f t="shared" si="0"/>
        <v>5223.3030639999988</v>
      </c>
    </row>
    <row r="24" spans="1:4" x14ac:dyDescent="0.25">
      <c r="A24" s="6" t="s">
        <v>21</v>
      </c>
      <c r="B24" s="4">
        <v>330</v>
      </c>
      <c r="C24" s="5">
        <v>9.6549039999999984</v>
      </c>
      <c r="D24" s="5">
        <f t="shared" si="0"/>
        <v>3186.1183199999996</v>
      </c>
    </row>
    <row r="25" spans="1:4" x14ac:dyDescent="0.25">
      <c r="A25" s="6" t="s">
        <v>22</v>
      </c>
      <c r="B25" s="4">
        <v>9597</v>
      </c>
      <c r="C25" s="5">
        <v>12.3614</v>
      </c>
      <c r="D25" s="5">
        <f t="shared" si="0"/>
        <v>118632.35579999999</v>
      </c>
    </row>
    <row r="26" spans="1:4" x14ac:dyDescent="0.25">
      <c r="A26" s="6" t="s">
        <v>23</v>
      </c>
      <c r="B26" s="4">
        <v>685</v>
      </c>
      <c r="C26" s="5">
        <v>12.3614</v>
      </c>
      <c r="D26" s="5">
        <f t="shared" si="0"/>
        <v>8467.5589999999993</v>
      </c>
    </row>
    <row r="27" spans="1:4" x14ac:dyDescent="0.25">
      <c r="A27" s="6" t="s">
        <v>24</v>
      </c>
      <c r="B27" s="4">
        <v>11</v>
      </c>
      <c r="C27" s="5">
        <v>12.673688</v>
      </c>
      <c r="D27" s="5">
        <f t="shared" si="0"/>
        <v>139.41056800000001</v>
      </c>
    </row>
    <row r="28" spans="1:4" x14ac:dyDescent="0.25">
      <c r="A28" s="6" t="s">
        <v>25</v>
      </c>
      <c r="B28" s="4">
        <v>424</v>
      </c>
      <c r="C28" s="5">
        <v>12.673688</v>
      </c>
      <c r="D28" s="5">
        <f t="shared" si="0"/>
        <v>5373.6437120000001</v>
      </c>
    </row>
    <row r="29" spans="1:4" x14ac:dyDescent="0.25">
      <c r="A29" s="6" t="s">
        <v>26</v>
      </c>
      <c r="B29" s="4">
        <v>161</v>
      </c>
      <c r="C29" s="5">
        <v>14.313199999999998</v>
      </c>
      <c r="D29" s="5">
        <f t="shared" si="0"/>
        <v>2304.4251999999997</v>
      </c>
    </row>
    <row r="30" spans="1:4" x14ac:dyDescent="0.25">
      <c r="A30" s="6" t="s">
        <v>27</v>
      </c>
      <c r="B30" s="4">
        <v>28</v>
      </c>
      <c r="C30" s="5">
        <v>14.313199999999998</v>
      </c>
      <c r="D30" s="5">
        <f t="shared" si="0"/>
        <v>400.76959999999997</v>
      </c>
    </row>
    <row r="31" spans="1:4" x14ac:dyDescent="0.25">
      <c r="A31" s="6" t="s">
        <v>28</v>
      </c>
      <c r="B31" s="4">
        <v>816</v>
      </c>
      <c r="C31" s="5">
        <v>12.673688</v>
      </c>
      <c r="D31" s="5">
        <f t="shared" si="0"/>
        <v>10341.729408000001</v>
      </c>
    </row>
    <row r="32" spans="1:4" x14ac:dyDescent="0.25">
      <c r="A32" s="6" t="s">
        <v>29</v>
      </c>
      <c r="B32" s="4">
        <v>1275</v>
      </c>
      <c r="C32" s="5">
        <v>14.391271999999999</v>
      </c>
      <c r="D32" s="5">
        <f t="shared" si="0"/>
        <v>18348.871799999997</v>
      </c>
    </row>
    <row r="33" spans="1:4" x14ac:dyDescent="0.25">
      <c r="A33" s="6" t="s">
        <v>30</v>
      </c>
      <c r="B33" s="4">
        <v>73</v>
      </c>
      <c r="C33" s="5">
        <v>12.673688</v>
      </c>
      <c r="D33" s="5">
        <f t="shared" si="0"/>
        <v>925.17922399999998</v>
      </c>
    </row>
    <row r="34" spans="1:4" x14ac:dyDescent="0.25">
      <c r="A34" s="3" t="s">
        <v>31</v>
      </c>
      <c r="B34" s="4">
        <v>11497</v>
      </c>
      <c r="C34" s="5">
        <v>10.097311999999999</v>
      </c>
      <c r="D34" s="5">
        <f t="shared" si="0"/>
        <v>116088.79606399998</v>
      </c>
    </row>
    <row r="35" spans="1:4" x14ac:dyDescent="0.25">
      <c r="A35" s="6" t="s">
        <v>32</v>
      </c>
      <c r="B35" s="4">
        <v>2016</v>
      </c>
      <c r="C35" s="5">
        <v>9.7459879999999988</v>
      </c>
      <c r="D35" s="5">
        <f t="shared" si="0"/>
        <v>19647.911807999997</v>
      </c>
    </row>
    <row r="36" spans="1:4" x14ac:dyDescent="0.25">
      <c r="A36" s="6" t="s">
        <v>33</v>
      </c>
      <c r="B36" s="4">
        <v>4260</v>
      </c>
      <c r="C36" s="5">
        <v>9.7459879999999988</v>
      </c>
      <c r="D36" s="5">
        <f t="shared" si="0"/>
        <v>41517.908879999995</v>
      </c>
    </row>
    <row r="37" spans="1:4" x14ac:dyDescent="0.25">
      <c r="A37" s="6" t="s">
        <v>35</v>
      </c>
      <c r="B37" s="4">
        <v>2822</v>
      </c>
      <c r="C37" s="5">
        <v>12.673688</v>
      </c>
      <c r="D37" s="5">
        <f t="shared" si="0"/>
        <v>35765.147536000004</v>
      </c>
    </row>
    <row r="38" spans="1:4" x14ac:dyDescent="0.25">
      <c r="A38" s="6" t="s">
        <v>34</v>
      </c>
      <c r="B38" s="4">
        <v>2826</v>
      </c>
      <c r="C38" s="5">
        <v>9.7980359999999997</v>
      </c>
      <c r="D38" s="5">
        <f t="shared" si="0"/>
        <v>27689.249735999998</v>
      </c>
    </row>
    <row r="39" spans="1:4" x14ac:dyDescent="0.25">
      <c r="A39" s="6" t="s">
        <v>36</v>
      </c>
      <c r="B39" s="4">
        <v>317</v>
      </c>
      <c r="C39" s="5">
        <v>11.710799999999999</v>
      </c>
      <c r="D39" s="5">
        <f t="shared" si="0"/>
        <v>3712.3235999999997</v>
      </c>
    </row>
    <row r="40" spans="1:4" x14ac:dyDescent="0.25">
      <c r="A40" s="6" t="s">
        <v>37</v>
      </c>
      <c r="B40" s="4">
        <v>266</v>
      </c>
      <c r="C40" s="5">
        <v>26.023999999999997</v>
      </c>
      <c r="D40" s="5">
        <f t="shared" si="0"/>
        <v>6922.3839999999991</v>
      </c>
    </row>
    <row r="41" spans="1:4" x14ac:dyDescent="0.25">
      <c r="A41" s="6" t="s">
        <v>38</v>
      </c>
      <c r="B41" s="4">
        <v>20110</v>
      </c>
      <c r="C41" s="5">
        <v>10.721888</v>
      </c>
      <c r="D41" s="5">
        <f t="shared" si="0"/>
        <v>215617.16767999998</v>
      </c>
    </row>
    <row r="42" spans="1:4" x14ac:dyDescent="0.25">
      <c r="A42" s="6" t="s">
        <v>39</v>
      </c>
      <c r="B42" s="4">
        <v>1577</v>
      </c>
      <c r="C42" s="5">
        <v>12.673688</v>
      </c>
      <c r="D42" s="5">
        <f t="shared" si="0"/>
        <v>19986.405976000002</v>
      </c>
    </row>
    <row r="43" spans="1:4" x14ac:dyDescent="0.25">
      <c r="A43" s="6" t="s">
        <v>40</v>
      </c>
      <c r="B43" s="4">
        <v>56</v>
      </c>
      <c r="C43" s="5">
        <v>12.673688</v>
      </c>
      <c r="D43" s="5">
        <f t="shared" si="0"/>
        <v>709.72652800000003</v>
      </c>
    </row>
    <row r="44" spans="1:4" x14ac:dyDescent="0.25">
      <c r="A44" s="6" t="s">
        <v>41</v>
      </c>
      <c r="B44" s="4">
        <v>1365</v>
      </c>
      <c r="C44" s="5">
        <v>12.3614</v>
      </c>
      <c r="D44" s="5">
        <f t="shared" si="0"/>
        <v>16873.310999999998</v>
      </c>
    </row>
    <row r="45" spans="1:4" x14ac:dyDescent="0.25">
      <c r="A45" s="6" t="s">
        <v>42</v>
      </c>
      <c r="B45" s="4">
        <v>50</v>
      </c>
      <c r="C45" s="5">
        <v>12.179231999999999</v>
      </c>
      <c r="D45" s="5">
        <f t="shared" si="0"/>
        <v>608.96159999999998</v>
      </c>
    </row>
    <row r="46" spans="1:4" x14ac:dyDescent="0.25">
      <c r="A46" s="6" t="s">
        <v>43</v>
      </c>
      <c r="B46" s="4">
        <v>22</v>
      </c>
      <c r="C46" s="5">
        <v>14.391271999999999</v>
      </c>
      <c r="D46" s="5">
        <f t="shared" si="0"/>
        <v>316.60798399999999</v>
      </c>
    </row>
    <row r="47" spans="1:4" x14ac:dyDescent="0.25">
      <c r="A47" s="6" t="s">
        <v>44</v>
      </c>
      <c r="B47" s="4">
        <v>1030</v>
      </c>
      <c r="C47" s="5">
        <v>11.697787999999999</v>
      </c>
      <c r="D47" s="5">
        <f t="shared" si="0"/>
        <v>12048.72164</v>
      </c>
    </row>
    <row r="48" spans="1:4" x14ac:dyDescent="0.25">
      <c r="A48" s="6" t="s">
        <v>45</v>
      </c>
      <c r="B48" s="4">
        <v>228</v>
      </c>
      <c r="C48" s="5">
        <v>14.248139999999998</v>
      </c>
      <c r="D48" s="5">
        <f t="shared" si="0"/>
        <v>3248.5759199999993</v>
      </c>
    </row>
    <row r="49" spans="1:4" x14ac:dyDescent="0.25">
      <c r="A49" s="6" t="s">
        <v>46</v>
      </c>
      <c r="B49" s="4">
        <v>1420</v>
      </c>
      <c r="C49" s="5">
        <v>15.809579999999999</v>
      </c>
      <c r="D49" s="5">
        <f t="shared" si="0"/>
        <v>22449.603599999999</v>
      </c>
    </row>
    <row r="50" spans="1:4" x14ac:dyDescent="0.25">
      <c r="A50" s="6" t="s">
        <v>47</v>
      </c>
      <c r="B50" s="4">
        <v>12</v>
      </c>
      <c r="C50" s="5">
        <v>12.673688</v>
      </c>
      <c r="D50" s="5">
        <f t="shared" si="0"/>
        <v>152.08425600000001</v>
      </c>
    </row>
    <row r="51" spans="1:4" x14ac:dyDescent="0.25">
      <c r="A51" s="6" t="s">
        <v>48</v>
      </c>
      <c r="B51" s="4">
        <v>190</v>
      </c>
      <c r="C51" s="5">
        <v>8.0153920000000003</v>
      </c>
      <c r="D51" s="5">
        <f t="shared" si="0"/>
        <v>1522.9244800000001</v>
      </c>
    </row>
    <row r="52" spans="1:4" x14ac:dyDescent="0.25">
      <c r="A52" s="3" t="s">
        <v>49</v>
      </c>
      <c r="B52" s="4">
        <v>59198</v>
      </c>
      <c r="C52" s="5">
        <v>6.93</v>
      </c>
      <c r="D52" s="5">
        <f t="shared" si="0"/>
        <v>410242.13999999996</v>
      </c>
    </row>
    <row r="53" spans="1:4" x14ac:dyDescent="0.25">
      <c r="A53" s="6" t="s">
        <v>50</v>
      </c>
      <c r="B53" s="4">
        <v>1009</v>
      </c>
      <c r="C53" s="5">
        <v>18.073667999999998</v>
      </c>
      <c r="D53" s="5">
        <f t="shared" si="0"/>
        <v>18236.331011999999</v>
      </c>
    </row>
    <row r="54" spans="1:4" x14ac:dyDescent="0.25">
      <c r="A54" s="6" t="s">
        <v>51</v>
      </c>
      <c r="B54" s="4">
        <v>54</v>
      </c>
      <c r="C54" s="5">
        <v>22.653891999999999</v>
      </c>
      <c r="D54" s="5">
        <f t="shared" si="0"/>
        <v>1223.310168</v>
      </c>
    </row>
    <row r="55" spans="1:4" x14ac:dyDescent="0.25">
      <c r="A55" s="6" t="s">
        <v>52</v>
      </c>
      <c r="B55" s="4">
        <v>1158</v>
      </c>
      <c r="C55" s="5">
        <v>11.710799999999999</v>
      </c>
      <c r="D55" s="5">
        <f t="shared" si="0"/>
        <v>13561.106399999999</v>
      </c>
    </row>
    <row r="56" spans="1:4" ht="15.75" thickBot="1" x14ac:dyDescent="0.3">
      <c r="A56" s="6" t="s">
        <v>53</v>
      </c>
      <c r="B56" s="4">
        <v>15</v>
      </c>
      <c r="C56" s="5">
        <v>15.6144</v>
      </c>
      <c r="D56" s="5">
        <f t="shared" si="0"/>
        <v>234.21600000000001</v>
      </c>
    </row>
    <row r="57" spans="1:4" ht="16.5" thickTop="1" thickBot="1" x14ac:dyDescent="0.3">
      <c r="A57" s="9" t="s">
        <v>55</v>
      </c>
      <c r="B57" s="10">
        <f>SUM(B3:B56)</f>
        <v>147719</v>
      </c>
      <c r="D57" s="11">
        <f>SUM(D3:D56)</f>
        <v>1412031.4568399999</v>
      </c>
    </row>
    <row r="58" spans="1:4" ht="16.5" thickTop="1" thickBot="1" x14ac:dyDescent="0.3"/>
    <row r="59" spans="1:4" ht="16.5" thickTop="1" thickBot="1" x14ac:dyDescent="0.3">
      <c r="A59" s="28" t="s">
        <v>59</v>
      </c>
      <c r="B59" s="29"/>
      <c r="C59" s="29"/>
      <c r="D59" s="11">
        <f>D57/B57</f>
        <v>9.5589020832797402</v>
      </c>
    </row>
    <row r="60" spans="1:4" ht="15.75" thickTop="1" x14ac:dyDescent="0.25"/>
  </sheetData>
  <mergeCells count="2">
    <mergeCell ref="A1:D1"/>
    <mergeCell ref="A59:C59"/>
  </mergeCells>
  <pageMargins left="0.7" right="0.7" top="0.75" bottom="0.75" header="0.3" footer="0.3"/>
  <pageSetup paperSize="256" scale="88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E41C-D28C-4BB9-A1F7-812A536308A8}">
  <dimension ref="A1:H60"/>
  <sheetViews>
    <sheetView tabSelected="1" topLeftCell="A35" workbookViewId="0">
      <selection activeCell="O63" sqref="O63"/>
    </sheetView>
  </sheetViews>
  <sheetFormatPr defaultRowHeight="15" x14ac:dyDescent="0.25"/>
  <cols>
    <col min="1" max="1" width="52" customWidth="1"/>
    <col min="2" max="2" width="9" style="1"/>
    <col min="3" max="3" width="9" style="2"/>
    <col min="4" max="4" width="10.7109375" style="2" customWidth="1"/>
    <col min="5" max="7" width="11.5703125" style="2" customWidth="1"/>
    <col min="8" max="8" width="16" style="8" customWidth="1"/>
  </cols>
  <sheetData>
    <row r="1" spans="1:8" ht="16.5" thickTop="1" thickBot="1" x14ac:dyDescent="0.3">
      <c r="A1" s="26">
        <v>46023</v>
      </c>
      <c r="B1" s="27"/>
      <c r="C1" s="27"/>
      <c r="D1" s="27"/>
      <c r="E1" s="27"/>
      <c r="F1" s="27"/>
      <c r="G1" s="27"/>
      <c r="H1" s="27"/>
    </row>
    <row r="2" spans="1:8" s="15" customFormat="1" ht="31.5" thickTop="1" thickBot="1" x14ac:dyDescent="0.3">
      <c r="A2" s="12" t="s">
        <v>54</v>
      </c>
      <c r="B2" s="13" t="s">
        <v>57</v>
      </c>
      <c r="C2" s="14" t="s">
        <v>56</v>
      </c>
      <c r="D2" s="14" t="s">
        <v>60</v>
      </c>
      <c r="E2" s="14" t="s">
        <v>61</v>
      </c>
      <c r="F2" s="14" t="s">
        <v>62</v>
      </c>
      <c r="G2" s="14" t="s">
        <v>62</v>
      </c>
      <c r="H2" s="16" t="s">
        <v>58</v>
      </c>
    </row>
    <row r="3" spans="1:8" ht="15.75" thickTop="1" x14ac:dyDescent="0.25">
      <c r="A3" s="20" t="s">
        <v>0</v>
      </c>
      <c r="B3" s="4">
        <v>3020</v>
      </c>
      <c r="C3" s="5">
        <v>10.435623999999999</v>
      </c>
      <c r="D3" s="5"/>
      <c r="E3" s="5"/>
      <c r="F3" s="5"/>
      <c r="G3" s="5"/>
      <c r="H3" s="5"/>
    </row>
    <row r="4" spans="1:8" x14ac:dyDescent="0.25">
      <c r="A4" s="23" t="s">
        <v>1</v>
      </c>
      <c r="B4" s="4">
        <v>1750</v>
      </c>
      <c r="C4" s="5">
        <v>15.237052</v>
      </c>
      <c r="D4" s="5"/>
      <c r="E4" s="5"/>
      <c r="F4" s="5"/>
      <c r="G4" s="5"/>
      <c r="H4" s="5"/>
    </row>
    <row r="5" spans="1:8" x14ac:dyDescent="0.25">
      <c r="A5" s="23" t="s">
        <v>2</v>
      </c>
      <c r="B5" s="4">
        <v>431</v>
      </c>
      <c r="C5" s="5">
        <v>13.649588</v>
      </c>
      <c r="D5" s="5"/>
      <c r="E5" s="5"/>
      <c r="F5" s="5"/>
      <c r="G5" s="5"/>
      <c r="H5" s="5"/>
    </row>
    <row r="6" spans="1:8" x14ac:dyDescent="0.25">
      <c r="A6" s="24" t="s">
        <v>3</v>
      </c>
      <c r="B6" s="4">
        <v>172</v>
      </c>
      <c r="C6" s="5">
        <v>12.673688</v>
      </c>
      <c r="D6" s="5"/>
      <c r="E6" s="5"/>
      <c r="F6" s="5"/>
      <c r="G6" s="5"/>
      <c r="H6" s="5"/>
    </row>
    <row r="7" spans="1:8" x14ac:dyDescent="0.25">
      <c r="A7" s="25" t="s">
        <v>4</v>
      </c>
      <c r="B7" s="7">
        <v>672</v>
      </c>
      <c r="C7" s="5">
        <v>15.497292</v>
      </c>
      <c r="D7" s="5"/>
      <c r="E7" s="5"/>
      <c r="F7" s="5"/>
      <c r="G7" s="5"/>
      <c r="H7" s="5"/>
    </row>
    <row r="8" spans="1:8" x14ac:dyDescent="0.25">
      <c r="A8" s="23" t="s">
        <v>5</v>
      </c>
      <c r="B8" s="4">
        <v>149</v>
      </c>
      <c r="C8" s="5">
        <v>11.710799999999999</v>
      </c>
      <c r="D8" s="5"/>
      <c r="E8" s="5"/>
      <c r="F8" s="5"/>
      <c r="G8" s="5"/>
      <c r="H8" s="5"/>
    </row>
    <row r="9" spans="1:8" x14ac:dyDescent="0.25">
      <c r="A9" s="30" t="s">
        <v>6</v>
      </c>
      <c r="B9" s="4">
        <v>4853</v>
      </c>
      <c r="C9" s="5">
        <v>11.5</v>
      </c>
      <c r="D9" s="5"/>
      <c r="E9" s="5"/>
      <c r="F9" s="5"/>
      <c r="G9" s="5"/>
      <c r="H9" s="5"/>
    </row>
    <row r="10" spans="1:8" x14ac:dyDescent="0.25">
      <c r="A10" s="24" t="s">
        <v>7</v>
      </c>
      <c r="B10" s="4">
        <v>1791</v>
      </c>
      <c r="C10" s="5">
        <v>12.673688</v>
      </c>
      <c r="D10" s="5"/>
      <c r="E10" s="5"/>
      <c r="F10" s="5"/>
      <c r="G10" s="5"/>
      <c r="H10" s="5"/>
    </row>
    <row r="11" spans="1:8" x14ac:dyDescent="0.25">
      <c r="A11" s="23" t="s">
        <v>8</v>
      </c>
      <c r="B11" s="4">
        <v>57</v>
      </c>
      <c r="C11" s="5">
        <v>12.673688</v>
      </c>
      <c r="D11" s="5"/>
      <c r="E11" s="5"/>
      <c r="F11" s="5"/>
      <c r="G11" s="5"/>
      <c r="H11" s="5"/>
    </row>
    <row r="12" spans="1:8" x14ac:dyDescent="0.25">
      <c r="A12" s="23" t="s">
        <v>9</v>
      </c>
      <c r="B12" s="4">
        <v>254</v>
      </c>
      <c r="C12" s="5">
        <v>12.179231999999999</v>
      </c>
      <c r="D12" s="5"/>
      <c r="E12" s="5"/>
      <c r="F12" s="5"/>
      <c r="G12" s="5"/>
      <c r="H12" s="5"/>
    </row>
    <row r="13" spans="1:8" x14ac:dyDescent="0.25">
      <c r="A13" s="23" t="s">
        <v>10</v>
      </c>
      <c r="B13" s="4">
        <v>473</v>
      </c>
      <c r="C13" s="5">
        <v>12.673688</v>
      </c>
      <c r="D13" s="5"/>
      <c r="E13" s="5"/>
      <c r="F13" s="5"/>
      <c r="G13" s="5"/>
      <c r="H13" s="5"/>
    </row>
    <row r="14" spans="1:8" x14ac:dyDescent="0.25">
      <c r="A14" s="18" t="s">
        <v>11</v>
      </c>
      <c r="B14" s="4">
        <v>640</v>
      </c>
      <c r="C14" s="5">
        <v>9.6549039999999984</v>
      </c>
      <c r="D14" s="5"/>
      <c r="E14" s="5"/>
      <c r="F14" s="5"/>
      <c r="G14" s="5"/>
      <c r="H14" s="5"/>
    </row>
    <row r="15" spans="1:8" x14ac:dyDescent="0.25">
      <c r="A15" s="18" t="s">
        <v>12</v>
      </c>
      <c r="B15" s="4">
        <v>485</v>
      </c>
      <c r="C15" s="5">
        <v>9.6549039999999984</v>
      </c>
      <c r="D15" s="5"/>
      <c r="E15" s="5"/>
      <c r="F15" s="5"/>
      <c r="G15" s="5"/>
      <c r="H15" s="5"/>
    </row>
    <row r="16" spans="1:8" x14ac:dyDescent="0.25">
      <c r="A16" s="18" t="s">
        <v>13</v>
      </c>
      <c r="B16" s="4">
        <v>559</v>
      </c>
      <c r="C16" s="5">
        <v>9.6549039999999984</v>
      </c>
      <c r="D16" s="5"/>
      <c r="E16" s="5"/>
      <c r="F16" s="5"/>
      <c r="G16" s="5"/>
      <c r="H16" s="5"/>
    </row>
    <row r="17" spans="1:8" x14ac:dyDescent="0.25">
      <c r="A17" s="18" t="s">
        <v>14</v>
      </c>
      <c r="B17" s="4">
        <v>1307</v>
      </c>
      <c r="C17" s="5">
        <v>9.6549039999999984</v>
      </c>
      <c r="D17" s="5"/>
      <c r="E17" s="5"/>
      <c r="F17" s="5"/>
      <c r="G17" s="5"/>
      <c r="H17" s="5"/>
    </row>
    <row r="18" spans="1:8" x14ac:dyDescent="0.25">
      <c r="A18" s="18" t="s">
        <v>15</v>
      </c>
      <c r="B18" s="4">
        <v>1245</v>
      </c>
      <c r="C18" s="5">
        <v>9.6549039999999984</v>
      </c>
      <c r="D18" s="5"/>
      <c r="E18" s="5"/>
      <c r="F18" s="5"/>
      <c r="G18" s="5"/>
      <c r="H18" s="5"/>
    </row>
    <row r="19" spans="1:8" x14ac:dyDescent="0.25">
      <c r="A19" s="18" t="s">
        <v>16</v>
      </c>
      <c r="B19" s="4">
        <v>241</v>
      </c>
      <c r="C19" s="5">
        <v>9.6549039999999984</v>
      </c>
      <c r="D19" s="5"/>
      <c r="E19" s="5"/>
      <c r="F19" s="5"/>
      <c r="G19" s="5"/>
      <c r="H19" s="5"/>
    </row>
    <row r="20" spans="1:8" x14ac:dyDescent="0.25">
      <c r="A20" s="18" t="s">
        <v>17</v>
      </c>
      <c r="B20" s="4">
        <v>562</v>
      </c>
      <c r="C20" s="5">
        <v>9.6549039999999984</v>
      </c>
      <c r="D20" s="5"/>
      <c r="E20" s="5"/>
      <c r="F20" s="5"/>
      <c r="G20" s="5"/>
      <c r="H20" s="5"/>
    </row>
    <row r="21" spans="1:8" x14ac:dyDescent="0.25">
      <c r="A21" s="18" t="s">
        <v>18</v>
      </c>
      <c r="B21" s="4">
        <v>557</v>
      </c>
      <c r="C21" s="5">
        <v>9.6549039999999984</v>
      </c>
      <c r="D21" s="5"/>
      <c r="E21" s="5"/>
      <c r="F21" s="5"/>
      <c r="G21" s="5"/>
      <c r="H21" s="5"/>
    </row>
    <row r="22" spans="1:8" x14ac:dyDescent="0.25">
      <c r="A22" s="18" t="s">
        <v>19</v>
      </c>
      <c r="B22" s="4">
        <v>3062</v>
      </c>
      <c r="C22" s="5">
        <v>9.6549039999999984</v>
      </c>
      <c r="D22" s="5"/>
      <c r="E22" s="5"/>
      <c r="F22" s="5"/>
      <c r="G22" s="5"/>
      <c r="H22" s="5"/>
    </row>
    <row r="23" spans="1:8" x14ac:dyDescent="0.25">
      <c r="A23" s="18" t="s">
        <v>20</v>
      </c>
      <c r="B23" s="4">
        <v>541</v>
      </c>
      <c r="C23" s="5">
        <v>9.6549039999999984</v>
      </c>
      <c r="D23" s="5"/>
      <c r="E23" s="5"/>
      <c r="F23" s="5"/>
      <c r="G23" s="5"/>
      <c r="H23" s="5"/>
    </row>
    <row r="24" spans="1:8" x14ac:dyDescent="0.25">
      <c r="A24" s="18" t="s">
        <v>21</v>
      </c>
      <c r="B24" s="4">
        <v>330</v>
      </c>
      <c r="C24" s="5">
        <v>9.6549039999999984</v>
      </c>
      <c r="D24" s="5"/>
      <c r="E24" s="5"/>
      <c r="F24" s="5"/>
      <c r="G24" s="5"/>
      <c r="H24" s="5"/>
    </row>
    <row r="25" spans="1:8" x14ac:dyDescent="0.25">
      <c r="A25" s="21" t="s">
        <v>22</v>
      </c>
      <c r="B25" s="4">
        <v>9597</v>
      </c>
      <c r="C25" s="5">
        <v>12.3614</v>
      </c>
      <c r="D25" s="5"/>
      <c r="E25" s="5"/>
      <c r="F25" s="5"/>
      <c r="G25" s="5"/>
      <c r="H25" s="5"/>
    </row>
    <row r="26" spans="1:8" x14ac:dyDescent="0.25">
      <c r="A26" s="30" t="s">
        <v>23</v>
      </c>
      <c r="B26" s="4">
        <v>685</v>
      </c>
      <c r="C26" s="5">
        <v>12.3614</v>
      </c>
      <c r="D26" s="5"/>
      <c r="E26" s="5"/>
      <c r="F26" s="5"/>
      <c r="G26" s="5"/>
      <c r="H26" s="5"/>
    </row>
    <row r="27" spans="1:8" x14ac:dyDescent="0.25">
      <c r="A27" s="23" t="s">
        <v>24</v>
      </c>
      <c r="B27" s="4">
        <v>11</v>
      </c>
      <c r="C27" s="5">
        <v>12.673688</v>
      </c>
      <c r="D27" s="5"/>
      <c r="E27" s="5"/>
      <c r="F27" s="5"/>
      <c r="G27" s="5"/>
      <c r="H27" s="5"/>
    </row>
    <row r="28" spans="1:8" x14ac:dyDescent="0.25">
      <c r="A28" s="23" t="s">
        <v>25</v>
      </c>
      <c r="B28" s="4">
        <v>424</v>
      </c>
      <c r="C28" s="5">
        <v>12.673688</v>
      </c>
      <c r="D28" s="5"/>
      <c r="E28" s="5"/>
      <c r="F28" s="5"/>
      <c r="G28" s="5"/>
      <c r="H28" s="5"/>
    </row>
    <row r="29" spans="1:8" x14ac:dyDescent="0.25">
      <c r="A29" s="21" t="s">
        <v>26</v>
      </c>
      <c r="B29" s="4">
        <v>161</v>
      </c>
      <c r="C29" s="5">
        <v>14.313199999999998</v>
      </c>
      <c r="D29" s="5"/>
      <c r="E29" s="5"/>
      <c r="F29" s="5"/>
      <c r="G29" s="5"/>
      <c r="H29" s="5"/>
    </row>
    <row r="30" spans="1:8" x14ac:dyDescent="0.25">
      <c r="A30" s="21" t="s">
        <v>27</v>
      </c>
      <c r="B30" s="4">
        <v>28</v>
      </c>
      <c r="C30" s="5">
        <v>14.313199999999998</v>
      </c>
      <c r="D30" s="5"/>
      <c r="E30" s="5"/>
      <c r="F30" s="5"/>
      <c r="G30" s="5"/>
      <c r="H30" s="5"/>
    </row>
    <row r="31" spans="1:8" x14ac:dyDescent="0.25">
      <c r="A31" s="23" t="s">
        <v>28</v>
      </c>
      <c r="B31" s="4">
        <v>816</v>
      </c>
      <c r="C31" s="5">
        <v>12.673688</v>
      </c>
      <c r="D31" s="5"/>
      <c r="E31" s="5"/>
      <c r="F31" s="5"/>
      <c r="G31" s="5"/>
      <c r="H31" s="5"/>
    </row>
    <row r="32" spans="1:8" x14ac:dyDescent="0.25">
      <c r="A32" s="23" t="s">
        <v>29</v>
      </c>
      <c r="B32" s="4">
        <v>1275</v>
      </c>
      <c r="C32" s="5">
        <v>14.391271999999999</v>
      </c>
      <c r="D32" s="5"/>
      <c r="E32" s="5"/>
      <c r="F32" s="5"/>
      <c r="G32" s="5"/>
      <c r="H32" s="5"/>
    </row>
    <row r="33" spans="1:8" x14ac:dyDescent="0.25">
      <c r="A33" s="24" t="s">
        <v>30</v>
      </c>
      <c r="B33" s="4">
        <v>73</v>
      </c>
      <c r="C33" s="5">
        <v>12.673688</v>
      </c>
      <c r="D33" s="5"/>
      <c r="E33" s="5"/>
      <c r="F33" s="5"/>
      <c r="G33" s="5"/>
      <c r="H33" s="5"/>
    </row>
    <row r="34" spans="1:8" x14ac:dyDescent="0.25">
      <c r="A34" s="19" t="s">
        <v>31</v>
      </c>
      <c r="B34" s="4">
        <v>11497</v>
      </c>
      <c r="C34" s="5">
        <v>10.097311999999999</v>
      </c>
      <c r="D34" s="5">
        <v>36.32</v>
      </c>
      <c r="E34" s="5">
        <v>50.85</v>
      </c>
      <c r="F34" s="5">
        <f>B34*D34</f>
        <v>417571.04</v>
      </c>
      <c r="G34" s="5">
        <f>B34*E34</f>
        <v>584622.45000000007</v>
      </c>
      <c r="H34" s="5">
        <f>SUM(F34,G34)</f>
        <v>1002193.49</v>
      </c>
    </row>
    <row r="35" spans="1:8" x14ac:dyDescent="0.25">
      <c r="A35" s="21" t="s">
        <v>32</v>
      </c>
      <c r="B35" s="4">
        <v>2016</v>
      </c>
      <c r="C35" s="5">
        <v>9.7459879999999988</v>
      </c>
      <c r="D35" s="5"/>
      <c r="E35" s="5"/>
      <c r="F35" s="5"/>
      <c r="G35" s="5"/>
      <c r="H35" s="5"/>
    </row>
    <row r="36" spans="1:8" x14ac:dyDescent="0.25">
      <c r="A36" s="21" t="s">
        <v>33</v>
      </c>
      <c r="B36" s="4">
        <v>4260</v>
      </c>
      <c r="C36" s="5">
        <v>9.7459879999999988</v>
      </c>
      <c r="D36" s="5"/>
      <c r="E36" s="5"/>
      <c r="F36" s="5"/>
      <c r="G36" s="5"/>
      <c r="H36" s="5"/>
    </row>
    <row r="37" spans="1:8" x14ac:dyDescent="0.25">
      <c r="A37" s="23" t="s">
        <v>35</v>
      </c>
      <c r="B37" s="4">
        <v>2822</v>
      </c>
      <c r="C37" s="5">
        <v>12.673688</v>
      </c>
      <c r="D37" s="5"/>
      <c r="E37" s="5"/>
      <c r="F37" s="5"/>
      <c r="G37" s="5"/>
      <c r="H37" s="5"/>
    </row>
    <row r="38" spans="1:8" x14ac:dyDescent="0.25">
      <c r="A38" s="25" t="s">
        <v>34</v>
      </c>
      <c r="B38" s="4">
        <v>2826</v>
      </c>
      <c r="C38" s="5">
        <v>9.7980359999999997</v>
      </c>
      <c r="D38" s="5"/>
      <c r="E38" s="5"/>
      <c r="F38" s="5"/>
      <c r="G38" s="5"/>
      <c r="H38" s="5"/>
    </row>
    <row r="39" spans="1:8" x14ac:dyDescent="0.25">
      <c r="A39" s="23" t="s">
        <v>36</v>
      </c>
      <c r="B39" s="4">
        <v>317</v>
      </c>
      <c r="C39" s="5">
        <v>11.710799999999999</v>
      </c>
      <c r="D39" s="5"/>
      <c r="E39" s="5"/>
      <c r="F39" s="5"/>
      <c r="G39" s="5"/>
      <c r="H39" s="5"/>
    </row>
    <row r="40" spans="1:8" x14ac:dyDescent="0.25">
      <c r="A40" s="21" t="s">
        <v>37</v>
      </c>
      <c r="B40" s="4">
        <v>266</v>
      </c>
      <c r="C40" s="5">
        <v>26.023999999999997</v>
      </c>
      <c r="D40" s="5"/>
      <c r="E40" s="5"/>
      <c r="F40" s="5"/>
      <c r="G40" s="5"/>
      <c r="H40" s="5"/>
    </row>
    <row r="41" spans="1:8" x14ac:dyDescent="0.25">
      <c r="A41" s="21" t="s">
        <v>38</v>
      </c>
      <c r="B41" s="4">
        <v>20110</v>
      </c>
      <c r="C41" s="5">
        <v>10.721888</v>
      </c>
      <c r="D41" s="5"/>
      <c r="E41" s="5"/>
      <c r="F41" s="5"/>
      <c r="G41" s="5"/>
      <c r="H41" s="5"/>
    </row>
    <row r="42" spans="1:8" x14ac:dyDescent="0.25">
      <c r="A42" s="23" t="s">
        <v>39</v>
      </c>
      <c r="B42" s="4">
        <v>1577</v>
      </c>
      <c r="C42" s="5">
        <v>12.673688</v>
      </c>
      <c r="D42" s="5"/>
      <c r="E42" s="5"/>
      <c r="F42" s="5"/>
      <c r="G42" s="5"/>
      <c r="H42" s="5"/>
    </row>
    <row r="43" spans="1:8" x14ac:dyDescent="0.25">
      <c r="A43" s="23" t="s">
        <v>40</v>
      </c>
      <c r="B43" s="4">
        <v>56</v>
      </c>
      <c r="C43" s="5">
        <v>12.673688</v>
      </c>
      <c r="D43" s="5"/>
      <c r="E43" s="5"/>
      <c r="F43" s="5"/>
      <c r="G43" s="5"/>
      <c r="H43" s="5"/>
    </row>
    <row r="44" spans="1:8" x14ac:dyDescent="0.25">
      <c r="A44" s="24" t="s">
        <v>41</v>
      </c>
      <c r="B44" s="4">
        <v>1365</v>
      </c>
      <c r="C44" s="5">
        <v>12.3614</v>
      </c>
      <c r="D44" s="5"/>
      <c r="E44" s="5"/>
      <c r="F44" s="5"/>
      <c r="G44" s="5"/>
      <c r="H44" s="5"/>
    </row>
    <row r="45" spans="1:8" x14ac:dyDescent="0.25">
      <c r="A45" s="21" t="s">
        <v>42</v>
      </c>
      <c r="B45" s="4">
        <v>50</v>
      </c>
      <c r="C45" s="5">
        <v>12.179231999999999</v>
      </c>
      <c r="D45" s="5"/>
      <c r="E45" s="5"/>
      <c r="F45" s="5"/>
      <c r="G45" s="5"/>
      <c r="H45" s="5"/>
    </row>
    <row r="46" spans="1:8" x14ac:dyDescent="0.25">
      <c r="A46" s="23" t="s">
        <v>43</v>
      </c>
      <c r="B46" s="4">
        <v>22</v>
      </c>
      <c r="C46" s="5">
        <v>14.391271999999999</v>
      </c>
      <c r="D46" s="5"/>
      <c r="E46" s="5"/>
      <c r="F46" s="5"/>
      <c r="G46" s="5"/>
      <c r="H46" s="5"/>
    </row>
    <row r="47" spans="1:8" x14ac:dyDescent="0.25">
      <c r="A47" s="23" t="s">
        <v>44</v>
      </c>
      <c r="B47" s="4">
        <v>1030</v>
      </c>
      <c r="C47" s="5">
        <v>11.697787999999999</v>
      </c>
      <c r="D47" s="5"/>
      <c r="E47" s="5"/>
      <c r="F47" s="5"/>
      <c r="G47" s="5"/>
      <c r="H47" s="5"/>
    </row>
    <row r="48" spans="1:8" x14ac:dyDescent="0.25">
      <c r="A48" s="23" t="s">
        <v>45</v>
      </c>
      <c r="B48" s="4">
        <v>228</v>
      </c>
      <c r="C48" s="5">
        <v>14.248139999999998</v>
      </c>
      <c r="D48" s="5"/>
      <c r="E48" s="5"/>
      <c r="F48" s="5"/>
      <c r="G48" s="5"/>
      <c r="H48" s="5"/>
    </row>
    <row r="49" spans="1:8" x14ac:dyDescent="0.25">
      <c r="A49" s="23" t="s">
        <v>46</v>
      </c>
      <c r="B49" s="4">
        <v>1420</v>
      </c>
      <c r="C49" s="5">
        <v>15.809579999999999</v>
      </c>
      <c r="D49" s="5"/>
      <c r="E49" s="5"/>
      <c r="F49" s="5"/>
      <c r="G49" s="5"/>
      <c r="H49" s="5"/>
    </row>
    <row r="50" spans="1:8" x14ac:dyDescent="0.25">
      <c r="A50" s="23" t="s">
        <v>47</v>
      </c>
      <c r="B50" s="4">
        <v>12</v>
      </c>
      <c r="C50" s="5">
        <v>12.673688</v>
      </c>
      <c r="D50" s="5"/>
      <c r="E50" s="5"/>
      <c r="F50" s="5"/>
      <c r="G50" s="5"/>
      <c r="H50" s="5"/>
    </row>
    <row r="51" spans="1:8" x14ac:dyDescent="0.25">
      <c r="A51" s="21" t="s">
        <v>48</v>
      </c>
      <c r="B51" s="4">
        <v>190</v>
      </c>
      <c r="C51" s="5">
        <v>8.0153920000000003</v>
      </c>
      <c r="D51" s="5"/>
      <c r="E51" s="5"/>
      <c r="F51" s="5"/>
      <c r="G51" s="5"/>
      <c r="H51" s="5"/>
    </row>
    <row r="52" spans="1:8" x14ac:dyDescent="0.25">
      <c r="A52" s="22" t="s">
        <v>49</v>
      </c>
      <c r="B52" s="4">
        <v>59198</v>
      </c>
      <c r="C52" s="5">
        <v>6.93</v>
      </c>
      <c r="D52" s="5"/>
      <c r="E52" s="5"/>
      <c r="F52" s="5"/>
      <c r="G52" s="5"/>
      <c r="H52" s="5"/>
    </row>
    <row r="53" spans="1:8" x14ac:dyDescent="0.25">
      <c r="A53" s="6" t="s">
        <v>50</v>
      </c>
      <c r="B53" s="4">
        <v>1009</v>
      </c>
      <c r="C53" s="5">
        <v>18.073667999999998</v>
      </c>
      <c r="D53" s="5"/>
      <c r="E53" s="5"/>
      <c r="F53" s="5"/>
      <c r="G53" s="5"/>
      <c r="H53" s="5"/>
    </row>
    <row r="54" spans="1:8" x14ac:dyDescent="0.25">
      <c r="A54" s="24" t="s">
        <v>51</v>
      </c>
      <c r="B54" s="4">
        <v>54</v>
      </c>
      <c r="C54" s="5">
        <v>22.653891999999999</v>
      </c>
      <c r="D54" s="5"/>
      <c r="E54" s="5"/>
      <c r="F54" s="5"/>
      <c r="G54" s="5"/>
      <c r="H54" s="5"/>
    </row>
    <row r="55" spans="1:8" x14ac:dyDescent="0.25">
      <c r="A55" s="30" t="s">
        <v>52</v>
      </c>
      <c r="B55" s="4">
        <v>1158</v>
      </c>
      <c r="C55" s="5">
        <v>11.710799999999999</v>
      </c>
      <c r="D55" s="5"/>
      <c r="E55" s="5"/>
      <c r="F55" s="5"/>
      <c r="G55" s="5"/>
      <c r="H55" s="5"/>
    </row>
    <row r="56" spans="1:8" ht="15.75" thickBot="1" x14ac:dyDescent="0.3">
      <c r="A56" s="21" t="s">
        <v>53</v>
      </c>
      <c r="B56" s="4">
        <v>15</v>
      </c>
      <c r="C56" s="5">
        <v>15.6144</v>
      </c>
      <c r="D56" s="5"/>
      <c r="E56" s="5"/>
      <c r="F56" s="5"/>
      <c r="G56" s="5"/>
      <c r="H56" s="5"/>
    </row>
    <row r="57" spans="1:8" ht="16.5" thickTop="1" thickBot="1" x14ac:dyDescent="0.3">
      <c r="A57" s="9" t="s">
        <v>55</v>
      </c>
      <c r="B57" s="10">
        <f>SUM(B3:B56)</f>
        <v>147719</v>
      </c>
      <c r="H57" s="11"/>
    </row>
    <row r="58" spans="1:8" ht="16.5" thickTop="1" thickBot="1" x14ac:dyDescent="0.3"/>
    <row r="59" spans="1:8" ht="16.5" thickTop="1" thickBot="1" x14ac:dyDescent="0.3">
      <c r="A59" s="28" t="s">
        <v>59</v>
      </c>
      <c r="B59" s="29"/>
      <c r="C59" s="29"/>
      <c r="D59" s="17"/>
      <c r="E59" s="17"/>
      <c r="F59" s="17"/>
      <c r="G59" s="17"/>
      <c r="H59" s="11">
        <f>H57/B57</f>
        <v>0</v>
      </c>
    </row>
    <row r="60" spans="1:8" ht="15.75" thickTop="1" x14ac:dyDescent="0.25"/>
  </sheetData>
  <mergeCells count="2">
    <mergeCell ref="A1:H1"/>
    <mergeCell ref="A59:C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Bilal Kip</dc:creator>
  <cp:lastModifiedBy>Eray Akar</cp:lastModifiedBy>
  <cp:lastPrinted>2025-12-25T14:05:17Z</cp:lastPrinted>
  <dcterms:created xsi:type="dcterms:W3CDTF">2015-06-05T18:19:34Z</dcterms:created>
  <dcterms:modified xsi:type="dcterms:W3CDTF">2026-02-02T13:52:15Z</dcterms:modified>
</cp:coreProperties>
</file>